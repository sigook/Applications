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stebanlopez/Documents/Projects/Covenant.Api/Covenant.Api/Covenant.Api/Report/Templates/"/>
    </mc:Choice>
  </mc:AlternateContent>
  <bookViews>
    <workbookView xWindow="0" yWindow="460" windowWidth="50520" windowHeight="28340" tabRatio="500"/>
  </bookViews>
  <sheets>
    <sheet name="ReportFullTemplate (2)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3" i="3" l="1"/>
  <c r="N13" i="3"/>
  <c r="O13" i="3"/>
  <c r="P13" i="3"/>
  <c r="Q13" i="3"/>
  <c r="R13" i="3"/>
  <c r="S13" i="3"/>
  <c r="W13" i="3"/>
  <c r="T13" i="3"/>
  <c r="U13" i="3"/>
  <c r="X13" i="3"/>
  <c r="Z13" i="3"/>
</calcChain>
</file>

<file path=xl/sharedStrings.xml><?xml version="1.0" encoding="utf-8"?>
<sst xmlns="http://schemas.openxmlformats.org/spreadsheetml/2006/main" count="36" uniqueCount="36">
  <si>
    <t>Agency Name</t>
  </si>
  <si>
    <t>AGENCY REPORT #1: Report per worker (Para generar el PAYROLL)</t>
  </si>
  <si>
    <t>Date: 10 Sept 2018</t>
  </si>
  <si>
    <t>WORKER DETAIL</t>
  </si>
  <si>
    <t>Denise</t>
  </si>
  <si>
    <t>Date</t>
  </si>
  <si>
    <t>Time In</t>
  </si>
  <si>
    <t>Time Out</t>
  </si>
  <si>
    <t>WAGE</t>
  </si>
  <si>
    <t>Google</t>
  </si>
  <si>
    <t>COMPANY</t>
  </si>
  <si>
    <t>WORKED HOURS</t>
  </si>
  <si>
    <t>DEDUCTIONS</t>
  </si>
  <si>
    <t>TOTAL NET</t>
  </si>
  <si>
    <t>Rate (Dollars)</t>
  </si>
  <si>
    <t>Total (Hours)</t>
  </si>
  <si>
    <t>Regular (Hours)</t>
  </si>
  <si>
    <t>Regular (Dollars)</t>
  </si>
  <si>
    <t>Missing (Hours)</t>
  </si>
  <si>
    <t>Holiday (Hours)</t>
  </si>
  <si>
    <t>Break (Hours)</t>
  </si>
  <si>
    <t>Overtime (Hours)</t>
  </si>
  <si>
    <t>Missing (Dollars)</t>
  </si>
  <si>
    <t>Holiday (Dollars)</t>
  </si>
  <si>
    <t>Over time (Dollars)</t>
  </si>
  <si>
    <t>Total Gross (Dollars)</t>
  </si>
  <si>
    <t>CPP (Dollars)</t>
  </si>
  <si>
    <t>Others (Dollars)</t>
  </si>
  <si>
    <t>Total Disc (Dollars)</t>
  </si>
  <si>
    <t>Night Shift (Dollars)</t>
  </si>
  <si>
    <t>Night Shift (Hours)</t>
  </si>
  <si>
    <t>Vacations (Dollars)</t>
  </si>
  <si>
    <t>EI    (Dollars)</t>
  </si>
  <si>
    <t>Taxes</t>
  </si>
  <si>
    <t>Worker</t>
  </si>
  <si>
    <t>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</si>
</sst>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/mm/yyyy"/>
    <numFmt numFmtId="165" formatCode="[$-F800]dddd\,\ mmmm\ dd\,\ yyyy"/>
    <numFmt numFmtId="166" formatCode="_-[$$-1009]* #,##0_-;\-[$$-1009]* #,##0_-;_-[$$-1009]* &quot;-&quot;_-;_-@_-"/>
    <numFmt numFmtId="167" formatCode="_-[$$-1009]* #,##0.0_-;\-[$$-1009]* #,##0.0_-;_-[$$-1009]* &quot;-&quot;_-;_-@_-"/>
    <numFmt numFmtId="168" formatCode="_-[$$-1009]* #,##0.0_-;\-[$$-1009]* #,##0.0_-;_-[$$-1009]* &quot;-&quot;?_-;_-@_-"/>
    <numFmt numFmtId="169" formatCode="_-[$$-1009]* #,##0.00_-;\-[$$-1009]* #,##0.00_-;_-[$$-1009]* &quot;-&quot;??_-;_-@_-"/>
    <numFmt numFmtId="170" formatCode="_-[$$-1009]* #,##0.00_-;\-[$$-1009]* #,##0.00_-;_-[$$-1009]* &quot;-&quot;_-;_-@_-"/>
    <numFmt numFmtId="171" formatCode="[h]:mm;@"/>
  </numFmts>
  <fonts count="16" x14ac:knownFonts="1">
    <font>
      <sz val="11"/>
      <color rgb="FF000000"/>
      <name val="Calibri"/>
    </font>
    <font>
      <b/>
      <sz val="18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50BAF9"/>
        <bgColor rgb="FF50BAF9"/>
      </patternFill>
    </fill>
    <fill>
      <patternFill patternType="solid">
        <fgColor rgb="FF50BA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FEFEF"/>
        <bgColor rgb="FFFFFFFF"/>
      </patternFill>
    </fill>
    <fill>
      <patternFill patternType="solid">
        <fgColor rgb="FFBDBDBD"/>
        <bgColor rgb="FFBDBDBD"/>
      </patternFill>
    </fill>
  </fills>
  <borders count="11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</borders>
  <cellStyleXfs count="1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0" xfId="0" applyFont="1" applyFill="1"/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0" fillId="3" borderId="0" xfId="0" applyFont="1" applyFill="1" applyAlignment="1"/>
    <xf numFmtId="0" fontId="9" fillId="7" borderId="3" xfId="0" applyFont="1" applyFill="1" applyBorder="1" applyAlignment="1">
      <alignment horizontal="center" vertical="center"/>
    </xf>
    <xf numFmtId="165" fontId="9" fillId="7" borderId="3" xfId="0" applyNumberFormat="1" applyFont="1" applyFill="1" applyBorder="1" applyAlignment="1">
      <alignment horizontal="right" vertical="center"/>
    </xf>
    <xf numFmtId="20" fontId="9" fillId="7" borderId="7" xfId="0" applyNumberFormat="1" applyFont="1" applyFill="1" applyBorder="1" applyAlignment="1">
      <alignment horizontal="center" vertical="center"/>
    </xf>
    <xf numFmtId="171" fontId="9" fillId="7" borderId="3" xfId="0" applyNumberFormat="1" applyFont="1" applyFill="1" applyBorder="1" applyAlignment="1">
      <alignment horizontal="center" vertical="center"/>
    </xf>
    <xf numFmtId="167" fontId="10" fillId="6" borderId="3" xfId="0" applyNumberFormat="1" applyFont="1" applyFill="1" applyBorder="1" applyAlignment="1">
      <alignment vertical="center"/>
    </xf>
    <xf numFmtId="168" fontId="10" fillId="6" borderId="3" xfId="0" applyNumberFormat="1" applyFont="1" applyFill="1" applyBorder="1" applyAlignment="1">
      <alignment vertical="center"/>
    </xf>
    <xf numFmtId="170" fontId="10" fillId="6" borderId="3" xfId="0" applyNumberFormat="1" applyFont="1" applyFill="1" applyBorder="1" applyAlignment="1">
      <alignment vertical="center"/>
    </xf>
    <xf numFmtId="169" fontId="10" fillId="6" borderId="3" xfId="0" applyNumberFormat="1" applyFont="1" applyFill="1" applyBorder="1" applyAlignment="1">
      <alignment vertical="center"/>
    </xf>
    <xf numFmtId="166" fontId="10" fillId="6" borderId="3" xfId="0" applyNumberFormat="1" applyFont="1" applyFill="1" applyBorder="1" applyAlignment="1">
      <alignment vertical="center"/>
    </xf>
    <xf numFmtId="0" fontId="9" fillId="6" borderId="0" xfId="0" applyFont="1" applyFill="1" applyAlignment="1"/>
    <xf numFmtId="164" fontId="15" fillId="8" borderId="1" xfId="0" applyNumberFormat="1" applyFont="1" applyFill="1" applyBorder="1" applyAlignment="1">
      <alignment horizontal="center" vertical="center"/>
    </xf>
    <xf numFmtId="164" fontId="15" fillId="8" borderId="4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0" fillId="3" borderId="0" xfId="0" applyFont="1" applyFill="1" applyAlignment="1"/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/>
    </xf>
    <xf numFmtId="0" fontId="12" fillId="6" borderId="0" xfId="0" applyFont="1" applyFill="1" applyAlignment="1"/>
    <xf numFmtId="0" fontId="10" fillId="6" borderId="0" xfId="0" applyFont="1" applyFill="1" applyAlignment="1">
      <alignment horizontal="left"/>
    </xf>
    <xf numFmtId="0" fontId="9" fillId="6" borderId="0" xfId="0" applyFont="1" applyFill="1" applyAlignment="1"/>
    <xf numFmtId="0" fontId="10" fillId="6" borderId="0" xfId="0" applyFont="1" applyFill="1" applyAlignment="1"/>
    <xf numFmtId="0" fontId="0" fillId="3" borderId="0" xfId="0" applyFont="1" applyFill="1" applyAlignment="1"/>
    <xf numFmtId="0" fontId="11" fillId="6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9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3" defaultTableStyle="TableStyleMedium9" defaultPivotStyle="PivotStyleMedium7">
    <tableStyle name="Copia-style" pivot="0" count="3">
      <tableStyleElement type="headerRow" dxfId="8"/>
      <tableStyleElement type="firstRowStripe" dxfId="7"/>
      <tableStyleElement type="secondRowStripe" dxfId="6"/>
    </tableStyle>
    <tableStyle name="Copia-style 2" pivot="0" count="3">
      <tableStyleElement type="headerRow" dxfId="5"/>
      <tableStyleElement type="firstRowStripe" dxfId="4"/>
      <tableStyleElement type="secondRowStripe" dxfId="3"/>
    </tableStyle>
    <tableStyle name="Copia-style 3" pivot="0" count="3">
      <tableStyleElement type="headerRow" dxfId="2"/>
      <tableStyleElement type="firstRowStripe" dxfId="1"/>
      <tableStyleElement type="secondRowStripe" dxfId="0"/>
    </tableStyle>
  </tableStyles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outlinePr summaryBelow="0" summaryRight="0"/>
  </sheetPr>
  <dimension ref="A1:AE13"/>
  <sheetViews>
    <sheetView tabSelected="1" zoomScale="110" zoomScaleNormal="110" workbookViewId="0">
      <selection activeCell="W30" sqref="W30"/>
    </sheetView>
  </sheetViews>
  <sheetFormatPr baseColWidth="10" defaultColWidth="14.5" defaultRowHeight="15" customHeight="1" x14ac:dyDescent="0.2"/>
  <cols>
    <col min="1" max="1" width="16.6640625" style="6" bestFit="1" customWidth="1"/>
    <col min="2" max="2" width="23.6640625" style="6" customWidth="1"/>
    <col min="3" max="4" width="9.6640625" style="6" customWidth="1"/>
    <col min="5" max="5" width="9.6640625" style="7" customWidth="1"/>
    <col min="6" max="11" width="9.6640625" style="6" customWidth="1"/>
    <col min="12" max="17" width="10" style="6" customWidth="1"/>
    <col min="18" max="18" width="10" style="8" customWidth="1"/>
    <col min="19" max="22" width="10" style="6" customWidth="1"/>
    <col min="23" max="23" width="10" style="24" customWidth="1"/>
    <col min="24" max="24" width="10" style="6" customWidth="1"/>
    <col min="25" max="25" width="17" style="6" bestFit="1" customWidth="1"/>
    <col min="26" max="26" width="11.5" style="6" bestFit="1" customWidth="1"/>
    <col min="27" max="16384" width="14.5" style="6"/>
  </cols>
  <sheetData>
    <row r="1" spans="1:31" ht="18" customHeight="1" x14ac:dyDescent="0.2">
      <c r="A1" s="40" t="s">
        <v>0</v>
      </c>
      <c r="B1" s="38"/>
      <c r="C1" s="38"/>
      <c r="D1" s="41" t="s">
        <v>1</v>
      </c>
      <c r="E1" s="41"/>
      <c r="F1" s="38"/>
      <c r="G1" s="38"/>
      <c r="H1" s="38"/>
      <c r="I1" s="38"/>
      <c r="J1" s="38"/>
      <c r="K1" s="38"/>
    </row>
    <row r="2" spans="1:31" x14ac:dyDescent="0.2">
      <c r="A2" s="38"/>
      <c r="B2" s="38"/>
      <c r="C2" s="38"/>
      <c r="D2" s="42" t="s">
        <v>2</v>
      </c>
      <c r="E2" s="42"/>
      <c r="F2" s="38"/>
      <c r="G2" s="38"/>
      <c r="H2" s="38"/>
      <c r="I2" s="38"/>
      <c r="J2" s="38"/>
      <c r="K2" s="38"/>
    </row>
    <row r="3" spans="1:31" x14ac:dyDescent="0.2">
      <c r="A3" s="43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31" ht="19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customHeight="1" x14ac:dyDescent="0.2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31" ht="16" x14ac:dyDescent="0.2">
      <c r="A6" s="39" t="s">
        <v>34</v>
      </c>
      <c r="B6" s="34"/>
      <c r="C6" s="18"/>
      <c r="D6" s="18"/>
      <c r="E6" s="18"/>
      <c r="F6" s="18"/>
      <c r="G6" s="18"/>
      <c r="H6" s="37" t="s">
        <v>4</v>
      </c>
      <c r="I6" s="36"/>
      <c r="J6" s="36"/>
      <c r="K6" s="36"/>
      <c r="L6" s="37"/>
      <c r="M6" s="36"/>
      <c r="N6" s="36"/>
      <c r="O6" s="36"/>
    </row>
    <row r="7" spans="1:31" ht="16" x14ac:dyDescent="0.2">
      <c r="A7" s="39"/>
      <c r="B7" s="34"/>
      <c r="C7" s="18"/>
      <c r="D7" s="18"/>
      <c r="E7" s="18"/>
      <c r="F7" s="18"/>
      <c r="G7" s="18"/>
      <c r="H7" s="37"/>
      <c r="I7" s="36"/>
      <c r="J7" s="36"/>
      <c r="K7" s="36"/>
      <c r="L7" s="37"/>
      <c r="M7" s="36"/>
      <c r="N7" s="36"/>
      <c r="O7" s="36"/>
    </row>
    <row r="8" spans="1:31" ht="16" x14ac:dyDescent="0.2">
      <c r="A8" s="39"/>
      <c r="B8" s="34"/>
      <c r="C8" s="18"/>
      <c r="D8" s="18"/>
      <c r="E8" s="18"/>
      <c r="F8" s="18"/>
      <c r="G8" s="18"/>
      <c r="H8" s="37"/>
      <c r="I8" s="36"/>
      <c r="J8" s="36"/>
      <c r="K8" s="36"/>
      <c r="L8" s="37"/>
      <c r="M8" s="36"/>
      <c r="N8" s="36"/>
      <c r="O8" s="36"/>
    </row>
    <row r="9" spans="1:31" ht="16" x14ac:dyDescent="0.2">
      <c r="A9" s="33"/>
      <c r="B9" s="34"/>
      <c r="C9" s="18"/>
      <c r="D9" s="18"/>
      <c r="E9" s="18"/>
      <c r="F9" s="18"/>
      <c r="G9" s="18"/>
      <c r="H9" s="35"/>
      <c r="I9" s="36"/>
      <c r="J9" s="36"/>
      <c r="K9" s="36"/>
      <c r="L9" s="37"/>
      <c r="M9" s="36"/>
      <c r="N9" s="36"/>
      <c r="O9" s="36"/>
    </row>
    <row r="10" spans="1:31" ht="15" customHeight="1" thickBo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31" ht="20" thickBot="1" x14ac:dyDescent="0.25">
      <c r="A11" s="29" t="s">
        <v>10</v>
      </c>
      <c r="B11" s="25" t="s">
        <v>11</v>
      </c>
      <c r="C11" s="26"/>
      <c r="D11" s="26"/>
      <c r="E11" s="27"/>
      <c r="F11" s="26"/>
      <c r="G11" s="26"/>
      <c r="H11" s="26"/>
      <c r="I11" s="26"/>
      <c r="J11" s="26"/>
      <c r="K11" s="28"/>
      <c r="L11" s="25" t="s">
        <v>8</v>
      </c>
      <c r="M11" s="26"/>
      <c r="N11" s="26"/>
      <c r="O11" s="26"/>
      <c r="P11" s="26"/>
      <c r="Q11" s="26"/>
      <c r="R11" s="26"/>
      <c r="S11" s="28"/>
      <c r="T11" s="25" t="s">
        <v>12</v>
      </c>
      <c r="U11" s="26"/>
      <c r="V11" s="26"/>
      <c r="W11" s="26"/>
      <c r="X11" s="28"/>
      <c r="Y11" s="31" t="s">
        <v>35</v>
      </c>
      <c r="Z11" s="31" t="s">
        <v>13</v>
      </c>
      <c r="AA11" s="1"/>
      <c r="AB11" s="1"/>
      <c r="AC11" s="1"/>
      <c r="AD11" s="1"/>
      <c r="AE11" s="1"/>
    </row>
    <row r="12" spans="1:31" ht="39" customHeight="1" thickBot="1" x14ac:dyDescent="0.25">
      <c r="A12" s="30"/>
      <c r="B12" s="19" t="s">
        <v>5</v>
      </c>
      <c r="C12" s="20" t="s">
        <v>6</v>
      </c>
      <c r="D12" s="20" t="s">
        <v>7</v>
      </c>
      <c r="E12" s="21" t="s">
        <v>15</v>
      </c>
      <c r="F12" s="22" t="s">
        <v>16</v>
      </c>
      <c r="G12" s="21" t="s">
        <v>18</v>
      </c>
      <c r="H12" s="21" t="s">
        <v>30</v>
      </c>
      <c r="I12" s="21" t="s">
        <v>19</v>
      </c>
      <c r="J12" s="23" t="s">
        <v>20</v>
      </c>
      <c r="K12" s="23" t="s">
        <v>21</v>
      </c>
      <c r="L12" s="23" t="s">
        <v>14</v>
      </c>
      <c r="M12" s="23" t="s">
        <v>17</v>
      </c>
      <c r="N12" s="23" t="s">
        <v>22</v>
      </c>
      <c r="O12" s="23" t="s">
        <v>29</v>
      </c>
      <c r="P12" s="23" t="s">
        <v>23</v>
      </c>
      <c r="Q12" s="23" t="s">
        <v>24</v>
      </c>
      <c r="R12" s="23" t="s">
        <v>31</v>
      </c>
      <c r="S12" s="23" t="s">
        <v>25</v>
      </c>
      <c r="T12" s="23" t="s">
        <v>26</v>
      </c>
      <c r="U12" s="23" t="s">
        <v>32</v>
      </c>
      <c r="V12" s="23" t="s">
        <v>27</v>
      </c>
      <c r="W12" s="23" t="s">
        <v>33</v>
      </c>
      <c r="X12" s="23" t="s">
        <v>28</v>
      </c>
      <c r="Y12" s="32"/>
      <c r="Z12" s="32"/>
      <c r="AA12" s="2"/>
      <c r="AB12" s="2"/>
      <c r="AC12" s="2"/>
      <c r="AD12" s="2"/>
      <c r="AE12" s="2"/>
    </row>
    <row r="13" spans="1:31" ht="16" x14ac:dyDescent="0.2">
      <c r="A13" s="9" t="s">
        <v>9</v>
      </c>
      <c r="B13" s="10">
        <v>43101</v>
      </c>
      <c r="C13" s="11">
        <v>0.33333333333333331</v>
      </c>
      <c r="D13" s="11">
        <v>0.91666666666666663</v>
      </c>
      <c r="E13" s="12">
        <v>0</v>
      </c>
      <c r="F13" s="12">
        <v>4.1666666666666664E-2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15</v>
      </c>
      <c r="M13" s="13">
        <f>(MOD(F13,1)*24)*L13</f>
        <v>15</v>
      </c>
      <c r="N13" s="14">
        <f>(MOD(G13,1)*24)*L13</f>
        <v>0</v>
      </c>
      <c r="O13" s="15">
        <f>L13*1.5* (MOD(H13,1)*24)</f>
        <v>0</v>
      </c>
      <c r="P13" s="14">
        <f>L13*1.5*(MOD(I13,1)*24)</f>
        <v>0</v>
      </c>
      <c r="Q13" s="14">
        <f>L13*1.5*(MOD(K13,1)*24)</f>
        <v>0</v>
      </c>
      <c r="R13" s="14">
        <f>SUM(M13:Q13)*4%</f>
        <v>0.6</v>
      </c>
      <c r="S13" s="13">
        <f>SUM(M13:R13)</f>
        <v>15.6</v>
      </c>
      <c r="T13" s="16">
        <f>S13*4.95%</f>
        <v>0.7722</v>
      </c>
      <c r="U13" s="16">
        <f>S13*1.73%</f>
        <v>0.26988000000000001</v>
      </c>
      <c r="V13" s="17">
        <v>1</v>
      </c>
      <c r="W13" s="15">
        <f>S13*6.2%</f>
        <v>0.96719999999999995</v>
      </c>
      <c r="X13" s="16">
        <f>SUM(T13:W13)</f>
        <v>3.00928</v>
      </c>
      <c r="Y13" s="17">
        <v>3</v>
      </c>
      <c r="Z13" s="16">
        <f>S13-X13+Y13</f>
        <v>15.590719999999999</v>
      </c>
      <c r="AA13" s="3"/>
      <c r="AB13" s="3"/>
      <c r="AC13" s="3"/>
      <c r="AD13" s="3"/>
      <c r="AE13" s="3"/>
    </row>
  </sheetData>
  <mergeCells count="24">
    <mergeCell ref="A1:C2"/>
    <mergeCell ref="D1:K1"/>
    <mergeCell ref="D2:K2"/>
    <mergeCell ref="A3:K3"/>
    <mergeCell ref="A5:K5"/>
    <mergeCell ref="L6:O6"/>
    <mergeCell ref="A7:B7"/>
    <mergeCell ref="H7:K7"/>
    <mergeCell ref="L7:O7"/>
    <mergeCell ref="A8:B8"/>
    <mergeCell ref="H8:K8"/>
    <mergeCell ref="L8:O8"/>
    <mergeCell ref="A6:B6"/>
    <mergeCell ref="H6:K6"/>
    <mergeCell ref="B11:K11"/>
    <mergeCell ref="A11:A12"/>
    <mergeCell ref="Y11:Y12"/>
    <mergeCell ref="Z11:Z12"/>
    <mergeCell ref="A9:B9"/>
    <mergeCell ref="H9:K9"/>
    <mergeCell ref="L9:O9"/>
    <mergeCell ref="A10:K10"/>
    <mergeCell ref="L11:S11"/>
    <mergeCell ref="T11:X11"/>
  </mergeCells>
  <pageMargins left="0.7" right="0.7" top="0.75" bottom="0.75" header="0.3" footer="0.3"/>
  <pageSetup scale="58" orientation="portrait" horizontalDpi="0" verticalDpi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ReportFullTemplate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2018-09-27T01:03:25Z</dcterms:created>
  <dcterms:modified xsi:type="dcterms:W3CDTF">2018-11-28T14:59:25Z</dcterms:modified>
</cp:coreProperties>
</file>