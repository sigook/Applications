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8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estebanlopez/Documents/Projects/Covenant.Api/Covenant.Api/Covenant.Api/Report/Templates/"/>
    </mc:Choice>
  </mc:AlternateContent>
  <bookViews>
    <workbookView xWindow="0" yWindow="460" windowWidth="50560" windowHeight="28340" tabRatio="500"/>
  </bookViews>
  <sheets>
    <sheet name="Invoice" sheetId="3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T13" i="3" l="1"/>
  <c r="M13" i="3"/>
  <c r="N13" i="3"/>
  <c r="O13" i="3"/>
  <c r="P13" i="3"/>
  <c r="Q13" i="3"/>
  <c r="R13" i="3"/>
  <c r="S13" i="3"/>
  <c r="U13" i="3"/>
</calcChain>
</file>

<file path=xl/sharedStrings.xml><?xml version="1.0" encoding="utf-8"?>
<sst xmlns="http://schemas.openxmlformats.org/spreadsheetml/2006/main" count="30" uniqueCount="30">
  <si>
    <t>Agency Name</t>
  </si>
  <si>
    <t>Date: 10 Sept 2018</t>
  </si>
  <si>
    <t>Date</t>
  </si>
  <si>
    <t>Time In</t>
  </si>
  <si>
    <t>Time Out</t>
  </si>
  <si>
    <t>WAGE</t>
  </si>
  <si>
    <t>Google</t>
  </si>
  <si>
    <t>WORKED HOURS</t>
  </si>
  <si>
    <t>TOTAL NET</t>
  </si>
  <si>
    <t>Rate (Dollars)</t>
  </si>
  <si>
    <t>Total (Hours)</t>
  </si>
  <si>
    <t>Regular (Hours)</t>
  </si>
  <si>
    <t>Regular (Dollars)</t>
  </si>
  <si>
    <t>Missing (Hours)</t>
  </si>
  <si>
    <t>Holiday (Hours)</t>
  </si>
  <si>
    <t>Break (Hours)</t>
  </si>
  <si>
    <t>Overtime (Hours)</t>
  </si>
  <si>
    <t>Missing (Dollars)</t>
  </si>
  <si>
    <t>Holiday (Dollars)</t>
  </si>
  <si>
    <t>Over time (Dollars)</t>
  </si>
  <si>
    <t>Total Gross (Dollars)</t>
  </si>
  <si>
    <t>Night Shift (Dollars)</t>
  </si>
  <si>
    <t>Night Shift (Hours)</t>
  </si>
  <si>
    <t>Vacations (Dollars)</t>
  </si>
  <si>
    <t>WORKER</t>
  </si>
  <si>
    <t>Full name</t>
  </si>
  <si>
    <t>COMPANY DETAIL</t>
  </si>
  <si>
    <t>Pedro Gonzales Lopez</t>
  </si>
  <si>
    <t>FARE</t>
  </si>
  <si>
    <t>AGENCY REPORT #2: Report per company (works to agency creates an invoice to the company)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</si>
</sst>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dd/mm/yyyy"/>
    <numFmt numFmtId="165" formatCode="[$-F800]dddd\,\ mmmm\ dd\,\ yyyy"/>
    <numFmt numFmtId="167" formatCode="_-[$$-1009]* #,##0.0_-;\-[$$-1009]* #,##0.0_-;_-[$$-1009]* &quot;-&quot;_-;_-@_-"/>
    <numFmt numFmtId="168" formatCode="_-[$$-1009]* #,##0.0_-;\-[$$-1009]* #,##0.0_-;_-[$$-1009]* &quot;-&quot;?_-;_-@_-"/>
    <numFmt numFmtId="169" formatCode="_-[$$-1009]* #,##0.00_-;\-[$$-1009]* #,##0.00_-;_-[$$-1009]* &quot;-&quot;??_-;_-@_-"/>
    <numFmt numFmtId="170" formatCode="_-[$$-1009]* #,##0.00_-;\-[$$-1009]* #,##0.00_-;_-[$$-1009]* &quot;-&quot;_-;_-@_-"/>
    <numFmt numFmtId="171" formatCode="[h]:mm;@"/>
  </numFmts>
  <fonts count="16" x14ac:knownFonts="1">
    <font>
      <sz val="11"/>
      <color rgb="FF000000"/>
      <name val="Calibri"/>
    </font>
    <font>
      <b/>
      <sz val="18"/>
      <name val="Calibri"/>
      <family val="2"/>
    </font>
    <font>
      <sz val="14"/>
      <name val="Calibri"/>
      <family val="2"/>
    </font>
    <font>
      <sz val="11"/>
      <name val="Calibri"/>
      <family val="2"/>
    </font>
    <font>
      <sz val="14"/>
      <color rgb="FFFFFFFF"/>
      <name val="Calibri"/>
      <family val="2"/>
    </font>
    <font>
      <sz val="14"/>
      <color rgb="FF000000"/>
      <name val="Calibri"/>
      <family val="2"/>
    </font>
    <font>
      <sz val="11"/>
      <color rgb="FFFFFFFF"/>
      <name val="Calibri"/>
      <family val="2"/>
    </font>
    <font>
      <u/>
      <sz val="11"/>
      <color theme="10"/>
      <name val="Calibri"/>
      <family val="2"/>
    </font>
    <font>
      <u/>
      <sz val="11"/>
      <color theme="11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b/>
      <sz val="14"/>
      <color rgb="FFFFFFFF"/>
      <name val="Calibri"/>
      <family val="2"/>
    </font>
    <font>
      <b/>
      <sz val="14"/>
      <color theme="0"/>
      <name val="Calibri"/>
      <family val="2"/>
    </font>
    <font>
      <b/>
      <sz val="12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50BAF9"/>
        <bgColor rgb="FF50BAF9"/>
      </patternFill>
    </fill>
    <fill>
      <patternFill patternType="solid">
        <fgColor rgb="FF50BAF9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EFEFEF"/>
        <bgColor rgb="FFFFFFFF"/>
      </patternFill>
    </fill>
    <fill>
      <patternFill patternType="solid">
        <fgColor rgb="FFBDBDBD"/>
        <bgColor rgb="FFBDBDBD"/>
      </patternFill>
    </fill>
  </fills>
  <borders count="11">
    <border>
      <left/>
      <right/>
      <top/>
      <bottom/>
      <diagonal/>
    </border>
    <border>
      <left style="medium">
        <color theme="0" tint="-0.14999847407452621"/>
      </left>
      <right style="medium">
        <color theme="0" tint="-0.14999847407452621"/>
      </right>
      <top style="medium">
        <color theme="0" tint="-0.14999847407452621"/>
      </top>
      <bottom style="medium">
        <color theme="0" tint="-0.14999847407452621"/>
      </bottom>
      <diagonal/>
    </border>
    <border>
      <left style="medium">
        <color theme="0" tint="-0.14999847407452621"/>
      </left>
      <right style="medium">
        <color theme="0" tint="-0.14999847407452621"/>
      </right>
      <top style="medium">
        <color theme="0" tint="-0.14999847407452621"/>
      </top>
      <bottom/>
      <diagonal/>
    </border>
    <border>
      <left style="medium">
        <color theme="0" tint="-0.14999847407452621"/>
      </left>
      <right style="medium">
        <color theme="0" tint="-0.14999847407452621"/>
      </right>
      <top/>
      <bottom/>
      <diagonal/>
    </border>
    <border>
      <left style="medium">
        <color theme="0" tint="-0.14999847407452621"/>
      </left>
      <right/>
      <top style="medium">
        <color theme="0" tint="-0.14999847407452621"/>
      </top>
      <bottom style="medium">
        <color theme="0" tint="-0.14999847407452621"/>
      </bottom>
      <diagonal/>
    </border>
    <border>
      <left/>
      <right/>
      <top style="medium">
        <color theme="0" tint="-0.14999847407452621"/>
      </top>
      <bottom style="medium">
        <color theme="0" tint="-0.14999847407452621"/>
      </bottom>
      <diagonal/>
    </border>
    <border>
      <left/>
      <right style="medium">
        <color theme="0" tint="-0.14999847407452621"/>
      </right>
      <top style="medium">
        <color theme="0" tint="-0.14999847407452621"/>
      </top>
      <bottom style="medium">
        <color theme="0" tint="-0.14999847407452621"/>
      </bottom>
      <diagonal/>
    </border>
    <border>
      <left style="medium">
        <color theme="0" tint="-0.14999847407452621"/>
      </left>
      <right/>
      <top/>
      <bottom/>
      <diagonal/>
    </border>
    <border>
      <left style="medium">
        <color theme="0" tint="-0.14999847407452621"/>
      </left>
      <right/>
      <top/>
      <bottom style="medium">
        <color theme="0" tint="-0.14999847407452621"/>
      </bottom>
      <diagonal/>
    </border>
    <border>
      <left style="medium">
        <color theme="0" tint="-0.14999847407452621"/>
      </left>
      <right/>
      <top style="medium">
        <color theme="0" tint="-0.14999847407452621"/>
      </top>
      <bottom/>
      <diagonal/>
    </border>
    <border>
      <left/>
      <right/>
      <top style="medium">
        <color theme="0" tint="-0.14999847407452621"/>
      </top>
      <bottom/>
      <diagonal/>
    </border>
  </borders>
  <cellStyleXfs count="13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42">
    <xf numFmtId="0" fontId="0" fillId="0" borderId="0" xfId="0"/>
    <xf numFmtId="0" fontId="3" fillId="2" borderId="0" xfId="0" applyFont="1" applyFill="1"/>
    <xf numFmtId="0" fontId="6" fillId="2" borderId="0" xfId="0" applyFont="1" applyFill="1" applyAlignment="1">
      <alignment horizontal="center"/>
    </xf>
    <xf numFmtId="0" fontId="3" fillId="3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5" fillId="5" borderId="0" xfId="0" applyFont="1" applyFill="1" applyAlignment="1"/>
    <xf numFmtId="0" fontId="0" fillId="3" borderId="0" xfId="0" applyFont="1" applyFill="1" applyAlignment="1"/>
    <xf numFmtId="0" fontId="0" fillId="3" borderId="0" xfId="0" applyFont="1" applyFill="1" applyAlignment="1"/>
    <xf numFmtId="0" fontId="0" fillId="3" borderId="0" xfId="0" applyFont="1" applyFill="1" applyAlignment="1"/>
    <xf numFmtId="0" fontId="9" fillId="7" borderId="3" xfId="0" applyFont="1" applyFill="1" applyBorder="1" applyAlignment="1">
      <alignment horizontal="center" vertical="center"/>
    </xf>
    <xf numFmtId="165" fontId="9" fillId="7" borderId="3" xfId="0" applyNumberFormat="1" applyFont="1" applyFill="1" applyBorder="1" applyAlignment="1">
      <alignment horizontal="right" vertical="center"/>
    </xf>
    <xf numFmtId="20" fontId="9" fillId="7" borderId="7" xfId="0" applyNumberFormat="1" applyFont="1" applyFill="1" applyBorder="1" applyAlignment="1">
      <alignment horizontal="center" vertical="center"/>
    </xf>
    <xf numFmtId="171" fontId="9" fillId="7" borderId="3" xfId="0" applyNumberFormat="1" applyFont="1" applyFill="1" applyBorder="1" applyAlignment="1">
      <alignment horizontal="center" vertical="center"/>
    </xf>
    <xf numFmtId="167" fontId="10" fillId="6" borderId="3" xfId="0" applyNumberFormat="1" applyFont="1" applyFill="1" applyBorder="1" applyAlignment="1">
      <alignment vertical="center"/>
    </xf>
    <xf numFmtId="168" fontId="10" fillId="6" borderId="3" xfId="0" applyNumberFormat="1" applyFont="1" applyFill="1" applyBorder="1" applyAlignment="1">
      <alignment vertical="center"/>
    </xf>
    <xf numFmtId="170" fontId="10" fillId="6" borderId="3" xfId="0" applyNumberFormat="1" applyFont="1" applyFill="1" applyBorder="1" applyAlignment="1">
      <alignment vertical="center"/>
    </xf>
    <xf numFmtId="169" fontId="10" fillId="6" borderId="3" xfId="0" applyNumberFormat="1" applyFont="1" applyFill="1" applyBorder="1" applyAlignment="1">
      <alignment vertical="center"/>
    </xf>
    <xf numFmtId="0" fontId="9" fillId="6" borderId="0" xfId="0" applyFont="1" applyFill="1" applyAlignment="1"/>
    <xf numFmtId="164" fontId="15" fillId="8" borderId="1" xfId="0" applyNumberFormat="1" applyFont="1" applyFill="1" applyBorder="1" applyAlignment="1">
      <alignment horizontal="center" vertical="center"/>
    </xf>
    <xf numFmtId="164" fontId="15" fillId="8" borderId="4" xfId="0" applyNumberFormat="1" applyFont="1" applyFill="1" applyBorder="1" applyAlignment="1">
      <alignment horizontal="center" vertical="center"/>
    </xf>
    <xf numFmtId="164" fontId="15" fillId="8" borderId="1" xfId="0" applyNumberFormat="1" applyFont="1" applyFill="1" applyBorder="1" applyAlignment="1">
      <alignment horizontal="center" vertical="center" wrapText="1"/>
    </xf>
    <xf numFmtId="164" fontId="15" fillId="8" borderId="5" xfId="0" applyNumberFormat="1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0" fontId="14" fillId="5" borderId="9" xfId="0" applyFont="1" applyFill="1" applyBorder="1" applyAlignment="1">
      <alignment horizontal="center" vertical="center"/>
    </xf>
    <xf numFmtId="0" fontId="14" fillId="5" borderId="8" xfId="0" applyFont="1" applyFill="1" applyBorder="1" applyAlignment="1">
      <alignment horizontal="center" vertical="center"/>
    </xf>
    <xf numFmtId="0" fontId="12" fillId="7" borderId="0" xfId="0" applyFont="1" applyFill="1" applyAlignment="1">
      <alignment horizontal="left"/>
    </xf>
    <xf numFmtId="0" fontId="12" fillId="6" borderId="0" xfId="0" applyFont="1" applyFill="1" applyAlignment="1"/>
    <xf numFmtId="0" fontId="10" fillId="6" borderId="0" xfId="0" applyFont="1" applyFill="1" applyAlignment="1">
      <alignment horizontal="left"/>
    </xf>
    <xf numFmtId="0" fontId="9" fillId="6" borderId="0" xfId="0" applyFont="1" applyFill="1" applyAlignment="1"/>
    <xf numFmtId="0" fontId="10" fillId="6" borderId="0" xfId="0" applyFont="1" applyFill="1" applyAlignment="1"/>
    <xf numFmtId="0" fontId="0" fillId="3" borderId="0" xfId="0" applyFont="1" applyFill="1" applyAlignment="1"/>
    <xf numFmtId="0" fontId="11" fillId="6" borderId="0" xfId="0" applyFont="1" applyFill="1" applyAlignment="1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/>
  </cellXfs>
  <cellStyles count="1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</cellStyles>
  <dxfs count="9"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</dxfs>
  <tableStyles count="3" defaultTableStyle="TableStyleMedium9" defaultPivotStyle="PivotStyleMedium7">
    <tableStyle name="Copia-style" pivot="0" count="3">
      <tableStyleElement type="headerRow" dxfId="8"/>
      <tableStyleElement type="firstRowStripe" dxfId="7"/>
      <tableStyleElement type="secondRowStripe" dxfId="6"/>
    </tableStyle>
    <tableStyle name="Copia-style 2" pivot="0" count="3">
      <tableStyleElement type="headerRow" dxfId="5"/>
      <tableStyleElement type="firstRowStripe" dxfId="4"/>
      <tableStyleElement type="secondRowStripe" dxfId="3"/>
    </tableStyle>
    <tableStyle name="Copia-style 3" pivot="0" count="3">
      <tableStyleElement type="headerRow" dxfId="2"/>
      <tableStyleElement type="firstRowStripe" dxfId="1"/>
      <tableStyleElement type="secondRowStripe" dxfId="0"/>
    </tableStyle>
  </tableStyles>
  <colors>
    <mruColors>
      <color rgb="FFEFEFE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enableFormatConditionsCalculation="0">
    <outlinePr summaryBelow="0" summaryRight="0"/>
  </sheetPr>
  <dimension ref="A1:Z13"/>
  <sheetViews>
    <sheetView tabSelected="1" zoomScale="110" zoomScaleNormal="110" workbookViewId="0">
      <selection activeCell="T13" sqref="T13"/>
    </sheetView>
  </sheetViews>
  <sheetFormatPr baseColWidth="10" defaultColWidth="14.5" defaultRowHeight="15" customHeight="1" x14ac:dyDescent="0.2"/>
  <cols>
    <col min="1" max="1" width="26.1640625" style="6" customWidth="1"/>
    <col min="2" max="2" width="23.6640625" style="6" customWidth="1"/>
    <col min="3" max="4" width="9.6640625" style="6" customWidth="1"/>
    <col min="5" max="5" width="9.6640625" style="7" customWidth="1"/>
    <col min="6" max="11" width="9.6640625" style="6" customWidth="1"/>
    <col min="12" max="17" width="10" style="6" customWidth="1"/>
    <col min="18" max="18" width="10" style="8" customWidth="1"/>
    <col min="19" max="19" width="10" style="6" customWidth="1"/>
    <col min="20" max="20" width="17" style="6" bestFit="1" customWidth="1"/>
    <col min="21" max="21" width="11.5" style="6" bestFit="1" customWidth="1"/>
    <col min="22" max="16384" width="14.5" style="6"/>
  </cols>
  <sheetData>
    <row r="1" spans="1:26" ht="18" customHeight="1" x14ac:dyDescent="0.2">
      <c r="A1" s="38" t="s">
        <v>0</v>
      </c>
      <c r="B1" s="36"/>
      <c r="C1" s="36"/>
      <c r="D1" s="39" t="s">
        <v>29</v>
      </c>
      <c r="E1" s="39"/>
      <c r="F1" s="36"/>
      <c r="G1" s="36"/>
      <c r="H1" s="36"/>
      <c r="I1" s="36"/>
      <c r="J1" s="36"/>
      <c r="K1" s="36"/>
    </row>
    <row r="2" spans="1:26" x14ac:dyDescent="0.2">
      <c r="A2" s="36"/>
      <c r="B2" s="36"/>
      <c r="C2" s="36"/>
      <c r="D2" s="40" t="s">
        <v>1</v>
      </c>
      <c r="E2" s="40"/>
      <c r="F2" s="36"/>
      <c r="G2" s="36"/>
      <c r="H2" s="36"/>
      <c r="I2" s="36"/>
      <c r="J2" s="36"/>
      <c r="K2" s="36"/>
    </row>
    <row r="3" spans="1:26" x14ac:dyDescent="0.2">
      <c r="A3" s="41"/>
      <c r="B3" s="36"/>
      <c r="C3" s="36"/>
      <c r="D3" s="36"/>
      <c r="E3" s="36"/>
      <c r="F3" s="36"/>
      <c r="G3" s="36"/>
      <c r="H3" s="36"/>
      <c r="I3" s="36"/>
      <c r="J3" s="36"/>
      <c r="K3" s="36"/>
    </row>
    <row r="4" spans="1:26" ht="19" x14ac:dyDescent="0.25">
      <c r="A4" s="4" t="s">
        <v>26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 x14ac:dyDescent="0.2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</row>
    <row r="6" spans="1:26" ht="16" x14ac:dyDescent="0.2">
      <c r="A6" s="37" t="s">
        <v>25</v>
      </c>
      <c r="B6" s="32"/>
      <c r="C6" s="17"/>
      <c r="D6" s="17"/>
      <c r="E6" s="17"/>
      <c r="F6" s="17"/>
      <c r="G6" s="17"/>
      <c r="H6" s="35" t="s">
        <v>6</v>
      </c>
      <c r="I6" s="34"/>
      <c r="J6" s="34"/>
      <c r="K6" s="34"/>
      <c r="L6" s="35"/>
      <c r="M6" s="34"/>
      <c r="N6" s="34"/>
      <c r="O6" s="34"/>
    </row>
    <row r="7" spans="1:26" ht="16" x14ac:dyDescent="0.2">
      <c r="A7" s="37"/>
      <c r="B7" s="32"/>
      <c r="C7" s="17"/>
      <c r="D7" s="17"/>
      <c r="E7" s="17"/>
      <c r="F7" s="17"/>
      <c r="G7" s="17"/>
      <c r="H7" s="35"/>
      <c r="I7" s="34"/>
      <c r="J7" s="34"/>
      <c r="K7" s="34"/>
      <c r="L7" s="35"/>
      <c r="M7" s="34"/>
      <c r="N7" s="34"/>
      <c r="O7" s="34"/>
    </row>
    <row r="8" spans="1:26" ht="16" x14ac:dyDescent="0.2">
      <c r="A8" s="37"/>
      <c r="B8" s="32"/>
      <c r="C8" s="17"/>
      <c r="D8" s="17"/>
      <c r="E8" s="17"/>
      <c r="F8" s="17"/>
      <c r="G8" s="17"/>
      <c r="H8" s="35"/>
      <c r="I8" s="34"/>
      <c r="J8" s="34"/>
      <c r="K8" s="34"/>
      <c r="L8" s="35"/>
      <c r="M8" s="34"/>
      <c r="N8" s="34"/>
      <c r="O8" s="34"/>
    </row>
    <row r="9" spans="1:26" ht="16" x14ac:dyDescent="0.2">
      <c r="A9" s="31"/>
      <c r="B9" s="32"/>
      <c r="C9" s="17"/>
      <c r="D9" s="17"/>
      <c r="E9" s="17"/>
      <c r="F9" s="17"/>
      <c r="G9" s="17"/>
      <c r="H9" s="33"/>
      <c r="I9" s="34"/>
      <c r="J9" s="34"/>
      <c r="K9" s="34"/>
      <c r="L9" s="35"/>
      <c r="M9" s="34"/>
      <c r="N9" s="34"/>
      <c r="O9" s="34"/>
    </row>
    <row r="10" spans="1:26" ht="15" customHeight="1" thickBot="1" x14ac:dyDescent="0.25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</row>
    <row r="11" spans="1:26" ht="20" thickBot="1" x14ac:dyDescent="0.25">
      <c r="A11" s="27" t="s">
        <v>24</v>
      </c>
      <c r="B11" s="23" t="s">
        <v>7</v>
      </c>
      <c r="C11" s="24"/>
      <c r="D11" s="24"/>
      <c r="E11" s="25"/>
      <c r="F11" s="24"/>
      <c r="G11" s="24"/>
      <c r="H11" s="24"/>
      <c r="I11" s="24"/>
      <c r="J11" s="24"/>
      <c r="K11" s="26"/>
      <c r="L11" s="23" t="s">
        <v>5</v>
      </c>
      <c r="M11" s="24"/>
      <c r="N11" s="24"/>
      <c r="O11" s="24"/>
      <c r="P11" s="24"/>
      <c r="Q11" s="24"/>
      <c r="R11" s="24"/>
      <c r="S11" s="26"/>
      <c r="T11" s="29" t="s">
        <v>28</v>
      </c>
      <c r="U11" s="29" t="s">
        <v>8</v>
      </c>
      <c r="V11" s="1"/>
      <c r="W11" s="1"/>
      <c r="X11" s="1"/>
      <c r="Y11" s="1"/>
      <c r="Z11" s="1"/>
    </row>
    <row r="12" spans="1:26" ht="39" customHeight="1" thickBot="1" x14ac:dyDescent="0.25">
      <c r="A12" s="28"/>
      <c r="B12" s="18" t="s">
        <v>2</v>
      </c>
      <c r="C12" s="19" t="s">
        <v>3</v>
      </c>
      <c r="D12" s="19" t="s">
        <v>4</v>
      </c>
      <c r="E12" s="20" t="s">
        <v>10</v>
      </c>
      <c r="F12" s="21" t="s">
        <v>11</v>
      </c>
      <c r="G12" s="20" t="s">
        <v>13</v>
      </c>
      <c r="H12" s="20" t="s">
        <v>22</v>
      </c>
      <c r="I12" s="20" t="s">
        <v>14</v>
      </c>
      <c r="J12" s="22" t="s">
        <v>15</v>
      </c>
      <c r="K12" s="22" t="s">
        <v>16</v>
      </c>
      <c r="L12" s="22" t="s">
        <v>9</v>
      </c>
      <c r="M12" s="22" t="s">
        <v>12</v>
      </c>
      <c r="N12" s="22" t="s">
        <v>17</v>
      </c>
      <c r="O12" s="22" t="s">
        <v>21</v>
      </c>
      <c r="P12" s="22" t="s">
        <v>18</v>
      </c>
      <c r="Q12" s="22" t="s">
        <v>19</v>
      </c>
      <c r="R12" s="22" t="s">
        <v>23</v>
      </c>
      <c r="S12" s="22" t="s">
        <v>20</v>
      </c>
      <c r="T12" s="30"/>
      <c r="U12" s="30"/>
      <c r="V12" s="2"/>
      <c r="W12" s="2"/>
      <c r="X12" s="2"/>
      <c r="Y12" s="2"/>
      <c r="Z12" s="2"/>
    </row>
    <row r="13" spans="1:26" ht="16" x14ac:dyDescent="0.2">
      <c r="A13" s="9" t="s">
        <v>27</v>
      </c>
      <c r="B13" s="10">
        <v>43101</v>
      </c>
      <c r="C13" s="11">
        <v>0.33333333333333331</v>
      </c>
      <c r="D13" s="11">
        <v>0.91666666666666663</v>
      </c>
      <c r="E13" s="12">
        <v>0</v>
      </c>
      <c r="F13" s="12">
        <v>4.1666666666666664E-2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3">
        <v>15</v>
      </c>
      <c r="M13" s="13">
        <f>(MOD(F13,1)*24)*L13</f>
        <v>15</v>
      </c>
      <c r="N13" s="14">
        <f>(MOD(G13,1)*24)*L13</f>
        <v>0</v>
      </c>
      <c r="O13" s="15">
        <f>L13*1.5* (MOD(H13,1)*24)</f>
        <v>0</v>
      </c>
      <c r="P13" s="14">
        <f>L13*1.5*(MOD(I13,1)*24)</f>
        <v>0</v>
      </c>
      <c r="Q13" s="14">
        <f>L13*1.5*(MOD(K13,1)*24)</f>
        <v>0</v>
      </c>
      <c r="R13" s="14">
        <f>SUM(M13:Q13)*4%</f>
        <v>0.6</v>
      </c>
      <c r="S13" s="13">
        <f>SUM(M13:R13)</f>
        <v>15.6</v>
      </c>
      <c r="T13" s="15">
        <f>3*1.4</f>
        <v>4.1999999999999993</v>
      </c>
      <c r="U13" s="16">
        <f>S13+T13</f>
        <v>19.799999999999997</v>
      </c>
      <c r="V13" s="3"/>
      <c r="W13" s="3"/>
      <c r="X13" s="3"/>
      <c r="Y13" s="3"/>
      <c r="Z13" s="3"/>
    </row>
  </sheetData>
  <mergeCells count="23">
    <mergeCell ref="A1:C2"/>
    <mergeCell ref="D1:K1"/>
    <mergeCell ref="D2:K2"/>
    <mergeCell ref="A3:K3"/>
    <mergeCell ref="A5:K5"/>
    <mergeCell ref="L6:O6"/>
    <mergeCell ref="A7:B7"/>
    <mergeCell ref="H7:K7"/>
    <mergeCell ref="L7:O7"/>
    <mergeCell ref="A8:B8"/>
    <mergeCell ref="H8:K8"/>
    <mergeCell ref="L8:O8"/>
    <mergeCell ref="A6:B6"/>
    <mergeCell ref="H6:K6"/>
    <mergeCell ref="B11:K11"/>
    <mergeCell ref="A11:A12"/>
    <mergeCell ref="T11:T12"/>
    <mergeCell ref="U11:U12"/>
    <mergeCell ref="A9:B9"/>
    <mergeCell ref="H9:K9"/>
    <mergeCell ref="L9:O9"/>
    <mergeCell ref="A10:K10"/>
    <mergeCell ref="L11:S11"/>
  </mergeCells>
  <pageMargins left="0.7" right="0.7" top="0.75" bottom="0.75" header="0.3" footer="0.3"/>
  <pageSetup scale="58" orientation="portrait" horizontalDpi="0" verticalDpi="0"/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2018-09-27T01:03:25Z</dcterms:created>
  <dcterms:modified xsi:type="dcterms:W3CDTF">2018-11-19T20:11:02Z</dcterms:modified>
</cp:coreProperties>
</file>